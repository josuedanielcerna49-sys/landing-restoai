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7d4df1dd0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 RestoAI" sheetId="1" r:id="Rcf23ffa91f09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0038FF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8183ce29f44f5" /><Relationship Type="http://schemas.openxmlformats.org/officeDocument/2006/relationships/theme" Target="/xl/theme/theme1.xml" Id="Re697505c422c42a1" /><Relationship Type="http://schemas.openxmlformats.org/officeDocument/2006/relationships/sharedStrings" Target="/xl/sharedStrings.xml" Id="R50cb04a6b5524c44" /><Relationship Type="http://schemas.openxmlformats.org/officeDocument/2006/relationships/worksheet" Target="/xl/worksheets/sheet1.xml" Id="Rcf23ffa91f0947ab" /></Relationships>
</file>

<file path=xl/tables/table1.xml><?xml version="1.0" encoding="utf-8"?>
<x:table xmlns:x="http://schemas.openxmlformats.org/spreadsheetml/2006/main" id="1" name="Top10RestoAITable" displayName="Top10RestoAITable" ref="A4:I14" headerRowCount="1">
  <x:tableColumns count="9">
    <x:tableColumn id="1" name="ID"/>
    <x:tableColumn id="2" name="Nombre"/>
    <x:tableColumn id="3" name="Ciudad"/>
    <x:tableColumn id="4" name="Prioridad"/>
    <x:tableColumn id="5" name="Canal disponible"/>
    <x:tableColumn id="6" name="Señal de demanda"/>
    <x:tableColumn id="7" name="Problema probable"/>
    <x:tableColumn id="8" name="Por qué entra en el top 10"/>
    <x:tableColumn id="9" name="Siguiente paso recomend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6039b125a4f1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2" hidden="0" customWidth="1"/>
    <x:col min="5" max="5" width="28" hidden="0" customWidth="1"/>
    <x:col min="6" max="6" width="42" hidden="0" customWidth="1"/>
    <x:col min="7" max="7" width="42" hidden="0" customWidth="1"/>
    <x:col min="8" max="8" width="48" hidden="0" customWidth="1"/>
    <x:col min="9" max="9" width="42" hidden="0" customWidth="1"/>
  </x:cols>
  <x:sheetData>
    <x:row r="1" ht="28" customHeight="1">
      <x:c r="A1" s="8" t="str">
        <x:v>Top 10 general de prospectos — RestoAI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</x:row>
    <x:row r="2" ht="38" customHeight="1">
      <x:c r="A2" s="14" t="str">
        <x:v>Criterio: si mañana solo se pudieran contactar 10 restaurantes, estos serían los más prometedores por contacto real, redes activas, señal de demanda y encaje con RestoAI.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</x:row>
    <x:row r="4" ht="34" customHeight="1">
      <x:c r="A4" s="24" t="str">
        <x:v>ID</x:v>
      </x:c>
      <x:c r="B4" s="24" t="str">
        <x:v>Nombre</x:v>
      </x:c>
      <x:c r="C4" s="24" t="str">
        <x:v>Ciudad</x:v>
      </x:c>
      <x:c r="D4" s="24" t="str">
        <x:v>Prioridad</x:v>
      </x:c>
      <x:c r="E4" s="24" t="str">
        <x:v>Canal disponible</x:v>
      </x:c>
      <x:c r="F4" s="24" t="str">
        <x:v>Señal de demanda</x:v>
      </x:c>
      <x:c r="G4" s="24" t="str">
        <x:v>Problema probable</x:v>
      </x:c>
      <x:c r="H4" s="24" t="str">
        <x:v>Por qué entra en el top 10</x:v>
      </x:c>
      <x:c r="I4" s="24" t="str">
        <x:v>Siguiente paso recomendado</x:v>
      </x:c>
    </x:row>
    <x:row r="5" ht="68" customHeight="1">
      <x:c r="A5" s="28" t="str">
        <x:v>R-015</x:v>
      </x:c>
      <x:c r="B5" s="28" t="str">
        <x:v>XpressArte Gourmet Cuisine</x:v>
      </x:c>
      <x:c r="C5" s="28" t="str">
        <x:v>Comayagua</x:v>
      </x:c>
      <x:c r="D5" s="28" t="str">
        <x:v>A</x:v>
      </x:c>
      <x:c r="E5" s="28" t="str">
        <x:v>WhatsApp/teléfono, Facebook, Instagram, Web/menú</x:v>
      </x:c>
      <x:c r="F5" s="28" t="str">
        <x:v>4.9★ y 1,433 reseñas en Google; TripAdvisor lo destaca como restaurante gourmet con reservas, terraza, bebidas y Travellers' Choice.</x:v>
      </x:c>
      <x:c r="G5" s="28" t="str">
        <x:v>Alto volumen de consultas por reservas, menú gourmet, eventos/cenas, horarios y disponibilidad.</x:v>
      </x:c>
      <x:c r="H5" s="28" t="str">
        <x:v>Entra por su volumen muy alto de reseñas, enfoque gourmet, reservas y buena presencia digital; es un negocio con capacidad de pago y dolor claro de atención.</x:v>
      </x:c>
      <x:c r="I5" s="28" t="str">
        <x:v>Contactar por WhatsApp y ofrecer demo de 2 minutos enfocada en reservas y consultas de menú gourmet.</x:v>
      </x:c>
    </x:row>
    <x:row r="6" ht="68" customHeight="1">
      <x:c r="A6" s="28" t="str">
        <x:v>R-006</x:v>
      </x:c>
      <x:c r="B6" s="28" t="str">
        <x:v>Restaurante El Torito</x:v>
      </x:c>
      <x:c r="C6" s="28" t="str">
        <x:v>Comayagua</x:v>
      </x:c>
      <x:c r="D6" s="28" t="str">
        <x:v>A</x:v>
      </x:c>
      <x:c r="E6" s="28" t="str">
        <x:v>WhatsApp/teléfono, Facebook, Instagram, Web/menú</x:v>
      </x:c>
      <x:c r="F6" s="28" t="str">
        <x:v>4.5★ y 846 reseñas en Google; Facebook con 20K+ me gusta; varias sedes en Honduras; menú publicado.</x:v>
      </x:c>
      <x:c r="G6" s="28" t="str">
        <x:v>Alta demanda por reservas, pedidos, horarios, menú y atención por sucursal; necesita respuesta rápida y ordenada.</x:v>
      </x:c>
      <x:c r="H6" s="28" t="str">
        <x:v>Entra por marca reconocida, varias sedes, menú publicado y alto movimiento; RestoAI puede ordenar consultas por sucursal, menú y reservas.</x:v>
      </x:c>
      <x:c r="I6" s="28" t="str">
        <x:v>Contactar por WhatsApp/Facebook y proponer demo por sucursal para ordenar consultas de menú y reservas.</x:v>
      </x:c>
    </x:row>
    <x:row r="7" ht="68" customHeight="1">
      <x:c r="A7" s="28" t="str">
        <x:v>R-003</x:v>
      </x:c>
      <x:c r="B7" s="28" t="str">
        <x:v>Restaurante y Cabañas El Mirador</x:v>
      </x:c>
      <x:c r="C7" s="28" t="str">
        <x:v>Comayagua</x:v>
      </x:c>
      <x:c r="D7" s="28" t="str">
        <x:v>A</x:v>
      </x:c>
      <x:c r="E7" s="28" t="str">
        <x:v>WhatsApp/teléfono, Facebook, Instagram, Web/menú</x:v>
      </x:c>
      <x:c r="F7" s="28" t="str">
        <x:v>Restaurante con cabañas, vista y reservaciones; 266 reseñas en Google; Facebook reporta 11K+ me gusta; fuentes mencionan reservas y menú variado.</x:v>
      </x:c>
      <x:c r="G7" s="28" t="str">
        <x:v>Consultas por ubicación, reservas, menú, horarios, cabañas y eventos; alto riesgo de perder reservas si responden tarde.</x:v>
      </x:c>
      <x:c r="H7" s="28" t="str">
        <x:v>Entra porque combina restaurante, cabañas, turismo y reservas; ya muestra interés/actividad y puede perder reservas si responde tarde.</x:v>
      </x:c>
      <x:c r="I7" s="28" t="str">
        <x:v>Dar seguimiento por WhatsApp con demo enfocada en reservas, cabañas, ubicación y horarios.</x:v>
      </x:c>
    </x:row>
    <x:row r="8" ht="68" customHeight="1">
      <x:c r="A8" s="28" t="str">
        <x:v>R-021</x:v>
      </x:c>
      <x:c r="B8" s="28" t="str">
        <x:v>Restaurante 9 Patrias</x:v>
      </x:c>
      <x:c r="C8" s="28" t="str">
        <x:v>Tegucigalpa</x:v>
      </x:c>
      <x:c r="D8" s="28" t="str">
        <x:v>A</x:v>
      </x:c>
      <x:c r="E8" s="28" t="str">
        <x:v>WhatsApp/teléfono, Facebook, Instagram, Web/menú</x:v>
      </x:c>
      <x:c r="F8" s="28" t="str">
        <x:v>Reservas por WhatsApp, menú propio, alta presencia digital y buenas reseñas; restaurante enfocado en experiencia gastronómica.</x:v>
      </x:c>
      <x:c r="G8" s="28" t="str">
        <x:v>Consultas repetidas sobre reservas, menú, horarios y disponibilidad; oportunidad para automatizar atención inicial.</x:v>
      </x:c>
      <x:c r="H8" s="28" t="str">
        <x:v>Entra por su enfoque de experiencia gastronómica, reservas por WhatsApp y alta presencia digital; buen candidato para demo personalizada.</x:v>
      </x:c>
      <x:c r="I8" s="28" t="str">
        <x:v>Contactar por WhatsApp con mensaje personalizado sobre reservas y menú de experiencia hondureña.</x:v>
      </x:c>
    </x:row>
    <x:row r="9" ht="68" customHeight="1">
      <x:c r="A9" s="28" t="str">
        <x:v>R-022</x:v>
      </x:c>
      <x:c r="B9" s="28" t="str">
        <x:v>La Cuisinette</x:v>
      </x:c>
      <x:c r="C9" s="28" t="str">
        <x:v>Tegucigalpa</x:v>
      </x:c>
      <x:c r="D9" s="28" t="str">
        <x:v>A</x:v>
      </x:c>
      <x:c r="E9" s="28" t="str">
        <x:v>WhatsApp/teléfono, Facebook, Instagram, Web/menú</x:v>
      </x:c>
      <x:c r="F9" s="28" t="str">
        <x:v>Sitio web, menú, reservas, presencia activa en Instagram y PedidosYa; flujo de clientes para brunch/comidas/cenas.</x:v>
      </x:c>
      <x:c r="G9" s="28" t="str">
        <x:v>Preguntas frecuentes sobre menú, reservas, horario, ubicación y pedidos; puede perder clientes por respuesta tardía.</x:v>
      </x:c>
      <x:c r="H9" s="28" t="str">
        <x:v>Entra porque tiene web, menú, reservas, PedidosYa y redes activas; muchas consultas pueden automatizarse.</x:v>
      </x:c>
      <x:c r="I9" s="28" t="str">
        <x:v>Contactar por WhatsApp/Instagram y ofrecer demo usando su menú y flujo de brunch/reservas.</x:v>
      </x:c>
    </x:row>
    <x:row r="10" ht="68" customHeight="1">
      <x:c r="A10" s="28" t="str">
        <x:v>R-024</x:v>
      </x:c>
      <x:c r="B10" s="28" t="str">
        <x:v>Smoked Kings</x:v>
      </x:c>
      <x:c r="C10" s="28" t="str">
        <x:v>Tegucigalpa</x:v>
      </x:c>
      <x:c r="D10" s="28" t="str">
        <x:v>A</x:v>
      </x:c>
      <x:c r="E10" s="28" t="str">
        <x:v>WhatsApp/teléfono, Facebook, Instagram, Web/menú, TikTok</x:v>
      </x:c>
      <x:c r="F10" s="28" t="str">
        <x:v>Sitio oficial con menú, reservaciones, eventos, WhatsApp, redes sociales y pedidos.</x:v>
      </x:c>
      <x:c r="G10" s="28" t="str">
        <x:v>Puede automatizar consultas sobre menú, reservaciones, eventos, horarios y pedidos.</x:v>
      </x:c>
      <x:c r="H10" s="28" t="str">
        <x:v>Entra por menú web, WhatsApp, reservaciones y eventos; RestoAI puede filtrar y ordenar pedidos, eventos y consultas.</x:v>
      </x:c>
      <x:c r="I10" s="28" t="str">
        <x:v>Contactar por WhatsApp y ofrecer demo enfocada en pedidos, eventos y reservaciones.</x:v>
      </x:c>
    </x:row>
    <x:row r="11" ht="68" customHeight="1">
      <x:c r="A11" s="28" t="str">
        <x:v>R-036</x:v>
      </x:c>
      <x:c r="B11" s="28" t="str">
        <x:v>El Morito</x:v>
      </x:c>
      <x:c r="C11" s="28" t="str">
        <x:v>Tegucigalpa</x:v>
      </x:c>
      <x:c r="D11" s="28" t="str">
        <x:v>A</x:v>
      </x:c>
      <x:c r="E11" s="28" t="str">
        <x:v>WhatsApp/teléfono, Facebook, Instagram, Web/menú</x:v>
      </x:c>
      <x:c r="F11" s="28" t="str">
        <x:v>Tres ubicaciones, menú web, redes activas, teléfono y WhatsApp; alto volumen de consultas/pedidos.</x:v>
      </x:c>
      <x:c r="G11" s="28" t="str">
        <x:v>Pedidos, reservas, sucursales, menú y horarios pueden automatizarse.</x:v>
      </x:c>
      <x:c r="H11" s="28" t="str">
        <x:v>Entra por tener varias ubicaciones, menú web, WhatsApp y alto volumen de pedidos/consultas por sucursal.</x:v>
      </x:c>
      <x:c r="I11" s="28" t="str">
        <x:v>Contactar por WhatsApp y proponer demo para atención multi-sucursal y menú.</x:v>
      </x:c>
    </x:row>
    <x:row r="12" ht="68" customHeight="1">
      <x:c r="A12" s="28" t="str">
        <x:v>R-041</x:v>
      </x:c>
      <x:c r="B12" s="28" t="str">
        <x:v>The Brick Bistro</x:v>
      </x:c>
      <x:c r="C12" s="28" t="str">
        <x:v>San Pedro Sula</x:v>
      </x:c>
      <x:c r="D12" s="28" t="str">
        <x:v>A</x:v>
      </x:c>
      <x:c r="E12" s="28" t="str">
        <x:v>WhatsApp/teléfono, Facebook, Instagram</x:v>
      </x:c>
      <x:c r="F12" s="28" t="str">
        <x:v>Reservaciones, eventos, redes activas, 11K seguidores en Instagram y WhatsApp visible.</x:v>
      </x:c>
      <x:c r="G12" s="28" t="str">
        <x:v>Reservas y eventos pueden saturarse por WhatsApp; necesita ordenar consultas y cotizaciones.</x:v>
      </x:c>
      <x:c r="H12" s="28" t="str">
        <x:v>Entra por eventos, reservaciones, WhatsApp visible y fuerte presencia en Instagram; necesita ordenar consultas y cotizaciones.</x:v>
      </x:c>
      <x:c r="I12" s="28" t="str">
        <x:v>Contactar por WhatsApp/Instagram con demo enfocada en reservas, eventos y cotizaciones.</x:v>
      </x:c>
    </x:row>
    <x:row r="13" ht="68" customHeight="1">
      <x:c r="A13" s="28" t="str">
        <x:v>R-042</x:v>
      </x:c>
      <x:c r="B13" s="28" t="str">
        <x:v>Restaurante Fum Yim</x:v>
      </x:c>
      <x:c r="C13" s="28" t="str">
        <x:v>San Pedro Sula</x:v>
      </x:c>
      <x:c r="D13" s="28" t="str">
        <x:v>A</x:v>
      </x:c>
      <x:c r="E13" s="28" t="str">
        <x:v>WhatsApp/teléfono, Facebook, Instagram</x:v>
      </x:c>
      <x:c r="F13" s="28" t="str">
        <x:v>Contact center, varias sucursales, pedidos por WhatsApp y delivery.</x:v>
      </x:c>
      <x:c r="G13" s="28" t="str">
        <x:v>Alto volumen de pedidos puede generar mensajes perdidos o pedidos desordenados.</x:v>
      </x:c>
      <x:c r="H13" s="28" t="str">
        <x:v>Entra por varias sucursales/contact center y pedidos por WhatsApp/delivery; tiene dolor claro de volumen y orden de pedidos.</x:v>
      </x:c>
      <x:c r="I13" s="28" t="str">
        <x:v>Contactar por WhatsApp o contact center con demo para automatizar pedidos y consultas por sucursal.</x:v>
      </x:c>
    </x:row>
    <x:row r="14" ht="68" customHeight="1">
      <x:c r="A14" s="28" t="str">
        <x:v>R-046</x:v>
      </x:c>
      <x:c r="B14" s="28" t="str">
        <x:v>Restaurante Tony's Mar</x:v>
      </x:c>
      <x:c r="C14" s="28" t="str">
        <x:v>San Pedro Sula</x:v>
      </x:c>
      <x:c r="D14" s="28" t="str">
        <x:v>A</x:v>
      </x:c>
      <x:c r="E14" s="28" t="str">
        <x:v>WhatsApp/teléfono, Facebook, Instagram, Web/menú</x:v>
      </x:c>
      <x:c r="F14" s="28" t="str">
        <x:v>Tiene sitio web, menú, reservaciones, delivery y WhatsApp.</x:v>
      </x:c>
      <x:c r="G14" s="28" t="str">
        <x:v>Pedidos, reservas y consultas sobre menú pueden saturar el canal manual.</x:v>
      </x:c>
      <x:c r="H14" s="28" t="str">
        <x:v>Entra por tener sitio web, menú, reservaciones, delivery y WhatsApp; es buen candidato para automatizar pedidos y reservas.</x:v>
      </x:c>
      <x:c r="I14" s="28" t="str">
        <x:v>Contactar por WhatsApp con demo enfocada en delivery, reservas y menú.</x:v>
      </x:c>
    </x:row>
    <x:row r="17">
      <x:c r="A17" s="34" t="str">
        <x:v>Conteo por ciudad en el Top 10</x:v>
      </x:c>
      <x:c r="B17" s="34" t="str">
        <x:v>Cantidad</x:v>
      </x:c>
    </x:row>
    <x:row r="18">
      <x:c r="A18" s="26" t="str">
        <x:v>Comayagua</x:v>
      </x:c>
      <x:c r="B18" s="26" t="n">
        <x:f>COUNTIF(C5:C14,"Comayagua")</x:f>
        <x:v>3</x:v>
      </x:c>
    </x:row>
    <x:row r="19">
      <x:c r="A19" s="26" t="str">
        <x:v>Tegucigalpa</x:v>
      </x:c>
      <x:c r="B19" s="26" t="n">
        <x:f>COUNTIF(C5:C14,"Tegucigalpa")</x:f>
        <x:v>4</x:v>
      </x:c>
    </x:row>
    <x:row r="20">
      <x:c r="A20" s="26" t="str">
        <x:v>San Pedro Sula</x:v>
      </x:c>
      <x:c r="B20" s="26" t="n">
        <x:f>COUNTIF(C5:C14,"San Pedro Sula")</x:f>
        <x:v>3</x:v>
      </x:c>
    </x:row>
    <x:row r="21">
      <x:c r="A21" s="26" t="str">
        <x:v>Total</x:v>
      </x:c>
      <x:c r="B21" s="26" t="n">
        <x:f>SUM(B18:B20)</x:f>
        <x:v>10</x:v>
      </x:c>
    </x:row>
    <x:row r="23">
      <x:c r="A23" s="40" t="str">
        <x:v>Nota: Este archivo contiene únicamente el Top 10 general de RestoAI y el conteo por ciudad.</x:v>
      </x:c>
      <x:c r="B23" s="40" t="str"/>
      <x:c r="C23" s="40" t="str"/>
      <x:c r="D23" s="40" t="str"/>
      <x:c r="E23" s="40" t="str"/>
      <x:c r="F23" s="40" t="str"/>
      <x:c r="G23" s="40" t="str"/>
      <x:c r="H23" s="40" t="str"/>
      <x:c r="I23" s="40" t="str"/>
    </x:row>
  </x:sheetData>
  <x:mergeCells>
    <x:mergeCell ref="A1:I1"/>
    <x:mergeCell ref="A2:I2"/>
    <x:mergeCell ref="A23:I23"/>
  </x:mergeCells>
  <x:conditionalFormatting sqref="D5:D14">
    <x:cfRule type="expression" dxfId="0" priority="1">
      <x:formula>D5="A"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96039b125a4f19"/>
  </x:tableParts>
</x:worksheet>
</file>